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価結果記録" sheetId="1" state="visible" r:id="rId1"/>
    <sheet xmlns:r="http://schemas.openxmlformats.org/officeDocument/2006/relationships" name="集計・分析" sheetId="2" state="visible" r:id="rId2"/>
    <sheet xmlns:r="http://schemas.openxmlformats.org/officeDocument/2006/relationships" name="使い方ガイド"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4"/>
    </font>
    <font>
      <b val="1"/>
      <sz val="12"/>
    </font>
    <font>
      <b val="1"/>
    </font>
    <font>
      <i val="1"/>
      <color rgb="00666666"/>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2" customWidth="1" min="1" max="1"/>
    <col width="12" customWidth="1" min="2" max="2"/>
    <col width="14" customWidth="1" min="3" max="3"/>
    <col width="14" customWidth="1" min="4" max="4"/>
    <col width="14" customWidth="1" min="5" max="5"/>
    <col width="14" customWidth="1" min="6" max="6"/>
    <col width="12" customWidth="1" min="7" max="7"/>
    <col width="14" customWidth="1" min="8" max="8"/>
    <col width="30" customWidth="1" min="9" max="9"/>
    <col width="16" customWidth="1" min="10" max="10"/>
    <col width="14" customWidth="1" min="11" max="11"/>
    <col width="18" customWidth="1" min="12" max="12"/>
    <col width="40" customWidth="1" min="13" max="13"/>
    <col width="30" customWidth="1" min="14" max="14"/>
  </cols>
  <sheetData>
    <row r="1" ht="30" customHeight="1">
      <c r="A1" s="1" t="inlineStr">
        <is>
          <t>候補者ID</t>
        </is>
      </c>
      <c r="B1" s="1" t="inlineStr">
        <is>
          <t>面談日</t>
        </is>
      </c>
      <c r="C1" s="1" t="inlineStr">
        <is>
          <t>AI総合スコア</t>
        </is>
      </c>
      <c r="D1" s="1" t="inlineStr">
        <is>
          <t>AIリスクレベル</t>
        </is>
      </c>
      <c r="E1" s="1" t="inlineStr">
        <is>
          <t>コミュニケーション</t>
        </is>
      </c>
      <c r="F1" s="1" t="inlineStr">
        <is>
          <t>ストレス耐性</t>
        </is>
      </c>
      <c r="G1" s="1" t="inlineStr">
        <is>
          <t>信頼性</t>
        </is>
      </c>
      <c r="H1" s="1" t="inlineStr">
        <is>
          <t>チームワーク</t>
        </is>
      </c>
      <c r="I1" s="1" t="inlineStr">
        <is>
          <t>Red Flags</t>
        </is>
      </c>
      <c r="J1" s="1" t="inlineStr">
        <is>
          <t>人間評価（5段階）</t>
        </is>
      </c>
      <c r="K1" s="1" t="inlineStr">
        <is>
          <t>アサイン結果</t>
        </is>
      </c>
      <c r="L1" s="1" t="inlineStr">
        <is>
          <t>問題の種類</t>
        </is>
      </c>
      <c r="M1" s="1" t="inlineStr">
        <is>
          <t>フィードバック</t>
        </is>
      </c>
      <c r="N1" s="1" t="inlineStr">
        <is>
          <t>備考</t>
        </is>
      </c>
    </row>
    <row r="2" ht="20" customHeight="1">
      <c r="A2" s="2" t="inlineStr">
        <is>
          <t>001</t>
        </is>
      </c>
      <c r="B2" s="2" t="inlineStr">
        <is>
          <t>2026-03-15</t>
        </is>
      </c>
      <c r="C2" s="3" t="n">
        <v>85</v>
      </c>
      <c r="D2" s="2" t="inlineStr">
        <is>
          <t>低</t>
        </is>
      </c>
      <c r="E2" s="2" t="n">
        <v>80</v>
      </c>
      <c r="F2" s="2" t="n">
        <v>75</v>
      </c>
      <c r="G2" s="2" t="n">
        <v>90</v>
      </c>
      <c r="H2" s="2" t="n">
        <v>85</v>
      </c>
      <c r="I2" s="2" t="inlineStr">
        <is>
          <t>なし</t>
        </is>
      </c>
      <c r="J2" s="2" t="n">
        <v>4</v>
      </c>
      <c r="K2" s="2" t="inlineStr">
        <is>
          <t>成功</t>
        </is>
      </c>
      <c r="L2" s="2" t="inlineStr">
        <is>
          <t>なし</t>
        </is>
      </c>
      <c r="M2" s="2" t="inlineStr">
        <is>
          <t>技術力・コミュニケーション共に良好</t>
        </is>
      </c>
      <c r="N2" s="2" t="inlineStr"/>
    </row>
    <row r="3" ht="20" customHeight="1">
      <c r="A3" s="2" t="inlineStr">
        <is>
          <t>002</t>
        </is>
      </c>
      <c r="B3" s="2" t="inlineStr">
        <is>
          <t>2026-03-16</t>
        </is>
      </c>
      <c r="C3" s="4" t="n">
        <v>45</v>
      </c>
      <c r="D3" s="2" t="inlineStr">
        <is>
          <t>中</t>
        </is>
      </c>
      <c r="E3" s="2" t="n">
        <v>50</v>
      </c>
      <c r="F3" s="2" t="n">
        <v>40</v>
      </c>
      <c r="G3" s="2" t="n">
        <v>45</v>
      </c>
      <c r="H3" s="2" t="n">
        <v>50</v>
      </c>
      <c r="I3" s="2" t="inlineStr">
        <is>
          <t>視線を避ける、回答に矛盾</t>
        </is>
      </c>
      <c r="J3" s="2" t="n">
        <v>2</v>
      </c>
      <c r="K3" s="2" t="inlineStr">
        <is>
          <t>問題発生</t>
        </is>
      </c>
      <c r="L3" s="2" t="inlineStr">
        <is>
          <t>対人トラブル</t>
        </is>
      </c>
      <c r="M3" s="2" t="inlineStr">
        <is>
          <t>初期段階で懸念通りトラブル発生</t>
        </is>
      </c>
      <c r="N3" s="2" t="inlineStr"/>
    </row>
    <row r="4" ht="20" customHeight="1">
      <c r="A4" s="2" t="inlineStr">
        <is>
          <t>003</t>
        </is>
      </c>
      <c r="B4" s="2" t="inlineStr">
        <is>
          <t>2026-03-17</t>
        </is>
      </c>
      <c r="C4" s="5" t="n">
        <v>70</v>
      </c>
      <c r="D4" s="2" t="inlineStr">
        <is>
          <t>低</t>
        </is>
      </c>
      <c r="E4" s="2" t="n">
        <v>75</v>
      </c>
      <c r="F4" s="2" t="n">
        <v>65</v>
      </c>
      <c r="G4" s="2" t="n">
        <v>70</v>
      </c>
      <c r="H4" s="2" t="n">
        <v>68</v>
      </c>
      <c r="I4" s="2" t="inlineStr">
        <is>
          <t>なし</t>
        </is>
      </c>
      <c r="J4" s="2" t="n">
        <v>3</v>
      </c>
      <c r="K4" s="2" t="inlineStr">
        <is>
          <t>成功</t>
        </is>
      </c>
      <c r="L4" s="2" t="inlineStr">
        <is>
          <t>なし</t>
        </is>
      </c>
      <c r="M4" s="2" t="inlineStr">
        <is>
          <t>問題なく業務遂行中</t>
        </is>
      </c>
      <c r="N4" s="2" t="inlineStr"/>
    </row>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6" t="inlineStr">
        <is>
          <t>AI面談動画解析 - 集計・分析シート</t>
        </is>
      </c>
    </row>
    <row r="3">
      <c r="A3" s="7" t="inlineStr">
        <is>
          <t>基本統計</t>
        </is>
      </c>
    </row>
    <row r="4">
      <c r="A4" s="8" t="inlineStr">
        <is>
          <t>総評価件数</t>
        </is>
      </c>
      <c r="B4">
        <f>COUNTA(評価結果記録!A:A)-1</f>
        <v/>
      </c>
    </row>
    <row r="5">
      <c r="A5" s="8" t="inlineStr">
        <is>
          <t>平均AI総合スコア</t>
        </is>
      </c>
      <c r="B5" t="inlineStr"/>
    </row>
    <row r="6">
      <c r="A6" s="8" t="inlineStr">
        <is>
          <t>アサイン成功率</t>
        </is>
      </c>
      <c r="B6" t="inlineStr"/>
    </row>
    <row r="7">
      <c r="A7" s="8" t="inlineStr">
        <is>
          <t>問題発生率</t>
        </is>
      </c>
      <c r="B7" t="inlineStr"/>
    </row>
    <row r="8">
      <c r="A8" s="8" t="inlineStr">
        <is>
          <t>偽陽性率（AI低評価→成功）</t>
        </is>
      </c>
      <c r="B8" t="inlineStr"/>
    </row>
    <row r="9">
      <c r="A9" s="8" t="inlineStr">
        <is>
          <t>偽陰性率（AI高評価→問題）</t>
        </is>
      </c>
      <c r="B9" t="inlineStr"/>
    </row>
    <row r="12">
      <c r="A12" s="7" t="inlineStr">
        <is>
          <t>相関分析</t>
        </is>
      </c>
    </row>
    <row r="13">
      <c r="A13" t="inlineStr">
        <is>
          <t>AI評価と人間評価の相関係数</t>
        </is>
      </c>
      <c r="B13">
        <f>CORREL(評価結果記録!C:C, 評価結果記録!J:J)</f>
        <v/>
      </c>
    </row>
    <row r="16">
      <c r="A16" s="9" t="inlineStr">
        <is>
          <t>※ サンプルデータは参考用です。実際のデータに置き換えてご使用ください。</t>
        </is>
      </c>
    </row>
    <row r="17">
      <c r="A17" s="9" t="inlineStr">
        <is>
          <t>※ 相関係数は0.7以上が目標です。</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00" customWidth="1" min="1" max="1"/>
  </cols>
  <sheetData>
    <row r="1">
      <c r="A1" s="10" t="inlineStr">
        <is>
          <t>AI面談動画解析 - 評価結果記録の使い方</t>
        </is>
      </c>
    </row>
    <row r="2">
      <c r="A2" s="11" t="inlineStr"/>
    </row>
    <row r="3">
      <c r="A3" s="12" t="inlineStr">
        <is>
          <t>1. 評価結果の記録</t>
        </is>
      </c>
    </row>
    <row r="4">
      <c r="A4" s="11" t="inlineStr">
        <is>
          <t xml:space="preserve">   - 「評価結果記録」シートに、面談実施後すぐにAIの評価結果を記録してください。</t>
        </is>
      </c>
    </row>
    <row r="5">
      <c r="A5" s="11" t="inlineStr">
        <is>
          <t xml:space="preserve">   - 候補者IDは匿名化されたIDを使用してください（例: 001, 002...）。</t>
        </is>
      </c>
    </row>
    <row r="6">
      <c r="A6" s="11" t="inlineStr">
        <is>
          <t xml:space="preserve">   - AI総合スコアとカテゴリ別スコアはシステムの出力結果をそのまま転記してください。</t>
        </is>
      </c>
    </row>
    <row r="7">
      <c r="A7" s="11" t="inlineStr"/>
    </row>
    <row r="8">
      <c r="A8" s="12" t="inlineStr">
        <is>
          <t>2. 人間の評価の記録</t>
        </is>
      </c>
    </row>
    <row r="9">
      <c r="A9" s="11" t="inlineStr">
        <is>
          <t xml:space="preserve">   - 人間評価（5段階）: 面接官の総合評価を5段階で記録してください。</t>
        </is>
      </c>
    </row>
    <row r="10">
      <c r="A10" s="11" t="inlineStr">
        <is>
          <t xml:space="preserve">     5: 非常に良い、4: 良い、3: 普通、2: やや不安、1: 不安</t>
        </is>
      </c>
    </row>
    <row r="11">
      <c r="A11" s="11" t="inlineStr"/>
    </row>
    <row r="12">
      <c r="A12" s="12" t="inlineStr">
        <is>
          <t>3. アサイン結果の記録</t>
        </is>
      </c>
    </row>
    <row r="13">
      <c r="A13" s="11" t="inlineStr">
        <is>
          <t xml:space="preserve">   - アサイン結果: 成功/問題発生/その他 から選択してください。</t>
        </is>
      </c>
    </row>
    <row r="14">
      <c r="A14" s="11" t="inlineStr">
        <is>
          <t xml:space="preserve">   - 問題の種類: スキル不足/対人トラブル/途中辞退/なし から選択してください。</t>
        </is>
      </c>
    </row>
    <row r="15">
      <c r="A15" s="11" t="inlineStr">
        <is>
          <t xml:space="preserve">   - フィードバック: 詳細な状況や気づきを自由記述してください。</t>
        </is>
      </c>
    </row>
    <row r="16">
      <c r="A16" s="11" t="inlineStr"/>
    </row>
    <row r="17">
      <c r="A17" s="12" t="inlineStr">
        <is>
          <t>4. 定期的な分析</t>
        </is>
      </c>
    </row>
    <row r="18">
      <c r="A18" s="11" t="inlineStr">
        <is>
          <t xml:space="preserve">   - 「集計・分析」シートで、四半期ごとに精度を確認してください。</t>
        </is>
      </c>
    </row>
    <row r="19">
      <c r="A19" s="11" t="inlineStr">
        <is>
          <t xml:space="preserve">   - 相関係数が0.7以上であれば、AIの評価精度は良好です。</t>
        </is>
      </c>
    </row>
    <row r="20">
      <c r="A20" s="11" t="inlineStr">
        <is>
          <t xml:space="preserve">   - 偽陽性・偽陰性が多い場合は、システムの改善を検討してください。</t>
        </is>
      </c>
    </row>
    <row r="21">
      <c r="A21" s="11" t="inlineStr"/>
    </row>
    <row r="22">
      <c r="A22" s="12" t="inlineStr">
        <is>
          <t>5. データの保護</t>
        </is>
      </c>
    </row>
    <row r="23">
      <c r="A23" s="11" t="inlineStr">
        <is>
          <t xml:space="preserve">   - 個人情報保護のため、候補者の実名は記載しないでください。</t>
        </is>
      </c>
    </row>
    <row r="24">
      <c r="A24" s="11" t="inlineStr">
        <is>
          <t xml:space="preserve">   - ファイルはパスワード保護することを推奨します。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2026-03-23T04:15:36Z</dcterms:created>
  <dcterms:modified xmlns:dcterms="http://purl.org/dc/terms/" xmlns:xsi="http://www.w3.org/2001/XMLSchema-instance" xsi:type="dcterms:W3CDTF">2026-03-23T04:15:36Z</dcterms:modified>
</cp:coreProperties>
</file>